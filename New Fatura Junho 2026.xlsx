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2c413ec704ed93/"/>
    </mc:Choice>
  </mc:AlternateContent>
  <xr:revisionPtr revIDLastSave="111" documentId="8_{8B642649-45F4-4603-8B47-A550C694F71A}" xr6:coauthVersionLast="47" xr6:coauthVersionMax="47" xr10:uidLastSave="{E506CEF6-8EB6-4409-8E96-2A63AB4CB0C9}"/>
  <bookViews>
    <workbookView xWindow="-120" yWindow="-120" windowWidth="29040" windowHeight="158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G36" i="1"/>
  <c r="C39" i="1" s="1"/>
  <c r="D36" i="1"/>
  <c r="B39" i="1" s="1"/>
  <c r="D39" i="1" l="1"/>
  <c r="F39" i="1" s="1"/>
</calcChain>
</file>

<file path=xl/sharedStrings.xml><?xml version="1.0" encoding="utf-8"?>
<sst xmlns="http://schemas.openxmlformats.org/spreadsheetml/2006/main" count="51" uniqueCount="28">
  <si>
    <t>CONTROLE DA FATURA</t>
  </si>
  <si>
    <t>Fatura</t>
  </si>
  <si>
    <t>Moisés</t>
  </si>
  <si>
    <t>Valor</t>
  </si>
  <si>
    <t>Parcelas</t>
  </si>
  <si>
    <t>Total</t>
  </si>
  <si>
    <t>Item Fixo</t>
  </si>
  <si>
    <t>Item Flexível</t>
  </si>
  <si>
    <t>DI * Uberrides</t>
  </si>
  <si>
    <t>Valor Fixo</t>
  </si>
  <si>
    <t>Valor Flexível</t>
  </si>
  <si>
    <t>Fatura Mês:</t>
  </si>
  <si>
    <t xml:space="preserve">                          </t>
  </si>
  <si>
    <t>Mãe</t>
  </si>
  <si>
    <t>Amazon Martkeplace 12/12</t>
  </si>
  <si>
    <t>Amazon</t>
  </si>
  <si>
    <t>Mp*Ptisk</t>
  </si>
  <si>
    <t>Amazon * Btcgvarej</t>
  </si>
  <si>
    <t>Iof</t>
  </si>
  <si>
    <t>Nitro Discord</t>
  </si>
  <si>
    <t>Shopee * TechTudo</t>
  </si>
  <si>
    <t>99Food</t>
  </si>
  <si>
    <t>JimCom</t>
  </si>
  <si>
    <t>Claro Flex</t>
  </si>
  <si>
    <t>Shopee * Docegarimpodec</t>
  </si>
  <si>
    <t>Shopee * Brinka Festa Sh 1/2</t>
  </si>
  <si>
    <t>Shopee * Casa e Decoracao</t>
  </si>
  <si>
    <t>Mochila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</si>
</sst>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64" fontId="2" fillId="14" borderId="5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13" borderId="9" xfId="0" applyNumberFormat="1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4" fillId="19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1" borderId="11" xfId="0" applyNumberFormat="1" applyFont="1" applyFill="1" applyBorder="1" applyAlignment="1">
      <alignment horizontal="center" vertical="center"/>
    </xf>
    <xf numFmtId="164" fontId="2" fillId="22" borderId="11" xfId="0" applyNumberFormat="1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164" fontId="2" fillId="23" borderId="1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2" fillId="23" borderId="11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0" borderId="7" xfId="0" applyFont="1" applyFill="1" applyBorder="1" applyAlignment="1">
      <alignment horizontal="center" vertical="center"/>
    </xf>
    <xf numFmtId="0" fontId="4" fillId="20" borderId="9" xfId="0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1"/>
  <sheetViews>
    <sheetView tabSelected="1" zoomScale="85" zoomScaleNormal="85" workbookViewId="0">
      <selection activeCell="F39" sqref="F39:H39"/>
    </sheetView>
  </sheetViews>
  <sheetFormatPr defaultColWidth="9.140625" defaultRowHeight="15.75" x14ac:dyDescent="0.25"/>
  <cols>
    <col min="1" max="1" width="9.140625" style="6"/>
    <col min="2" max="2" width="29.42578125" style="6" bestFit="1" customWidth="1"/>
    <col min="3" max="3" width="27.85546875" style="6" customWidth="1"/>
    <col min="4" max="4" width="23.7109375" style="6" customWidth="1"/>
    <col min="5" max="5" width="14.42578125" style="6" customWidth="1"/>
    <col min="6" max="6" width="26.42578125" style="6" customWidth="1"/>
    <col min="7" max="7" width="20" style="6" customWidth="1"/>
    <col min="8" max="8" width="12.42578125" style="6" bestFit="1" customWidth="1"/>
    <col min="9" max="9" width="54.5703125" style="6" customWidth="1"/>
    <col min="10" max="10" width="24.7109375" style="6" bestFit="1" customWidth="1"/>
    <col min="11" max="11" width="13.28515625" style="6" customWidth="1"/>
    <col min="12" max="12" width="10.7109375" style="6" bestFit="1" customWidth="1"/>
    <col min="13" max="16384" width="9.140625" style="6"/>
  </cols>
  <sheetData>
    <row r="2" spans="2:12" ht="36.75" customHeight="1" x14ac:dyDescent="0.2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</row>
    <row r="5" spans="2:12" ht="27.75" customHeight="1" x14ac:dyDescent="0.25">
      <c r="B5" s="52" t="s">
        <v>1</v>
      </c>
      <c r="C5" s="53"/>
      <c r="D5" s="53"/>
      <c r="E5" s="53"/>
      <c r="F5" s="53"/>
      <c r="G5" s="54"/>
      <c r="I5" s="7" t="s">
        <v>2</v>
      </c>
      <c r="J5" s="32" t="s">
        <v>3</v>
      </c>
      <c r="K5" s="27" t="s">
        <v>4</v>
      </c>
      <c r="L5" s="28" t="s">
        <v>5</v>
      </c>
    </row>
    <row r="6" spans="2:12" x14ac:dyDescent="0.25">
      <c r="B6" s="55" t="s">
        <v>6</v>
      </c>
      <c r="C6" s="56"/>
      <c r="D6" s="4" t="s">
        <v>3</v>
      </c>
      <c r="F6" s="2" t="s">
        <v>7</v>
      </c>
      <c r="G6" s="3" t="s">
        <v>3</v>
      </c>
      <c r="I6" s="11" t="s">
        <v>20</v>
      </c>
      <c r="J6" s="33">
        <v>48.99</v>
      </c>
      <c r="K6" s="30"/>
      <c r="L6" s="26">
        <f>SUM(J6:J17)</f>
        <v>157.49</v>
      </c>
    </row>
    <row r="7" spans="2:12" ht="17.25" customHeight="1" x14ac:dyDescent="0.25">
      <c r="B7" s="46" t="s">
        <v>14</v>
      </c>
      <c r="C7" s="47"/>
      <c r="D7" s="8">
        <v>73.739999999999995</v>
      </c>
      <c r="F7" s="10" t="s">
        <v>8</v>
      </c>
      <c r="G7" s="8">
        <v>6.33</v>
      </c>
      <c r="I7" s="11" t="s">
        <v>24</v>
      </c>
      <c r="J7" s="33">
        <v>35</v>
      </c>
      <c r="K7" s="31"/>
    </row>
    <row r="8" spans="2:12" x14ac:dyDescent="0.25">
      <c r="B8" s="51" t="s">
        <v>15</v>
      </c>
      <c r="C8" s="51"/>
      <c r="D8" s="9">
        <v>49.99</v>
      </c>
      <c r="F8" s="10" t="s">
        <v>8</v>
      </c>
      <c r="G8" s="8">
        <v>3.93</v>
      </c>
      <c r="I8" s="11" t="s">
        <v>25</v>
      </c>
      <c r="J8" s="33">
        <v>23.51</v>
      </c>
      <c r="K8" s="31"/>
    </row>
    <row r="9" spans="2:12" x14ac:dyDescent="0.25">
      <c r="B9" s="51" t="s">
        <v>16</v>
      </c>
      <c r="C9" s="51"/>
      <c r="D9" s="8">
        <v>56.99</v>
      </c>
      <c r="F9" s="10" t="s">
        <v>8</v>
      </c>
      <c r="G9" s="8">
        <v>4.91</v>
      </c>
      <c r="I9" s="11" t="s">
        <v>26</v>
      </c>
      <c r="J9" s="33">
        <v>49.99</v>
      </c>
      <c r="K9" s="31"/>
    </row>
    <row r="10" spans="2:12" x14ac:dyDescent="0.25">
      <c r="B10" s="46" t="s">
        <v>17</v>
      </c>
      <c r="C10" s="47"/>
      <c r="D10" s="8">
        <v>53.9</v>
      </c>
      <c r="F10" s="10" t="s">
        <v>8</v>
      </c>
      <c r="G10" s="8">
        <v>8.91</v>
      </c>
      <c r="I10" s="29" t="s">
        <v>27</v>
      </c>
      <c r="J10" s="33"/>
      <c r="K10" s="31"/>
    </row>
    <row r="11" spans="2:12" x14ac:dyDescent="0.25">
      <c r="B11" s="51" t="s">
        <v>19</v>
      </c>
      <c r="C11" s="51"/>
      <c r="D11" s="8">
        <v>26.07</v>
      </c>
      <c r="F11" s="10" t="s">
        <v>8</v>
      </c>
      <c r="G11" s="8">
        <v>5.9</v>
      </c>
      <c r="I11" s="29"/>
      <c r="J11" s="33"/>
      <c r="K11" s="31"/>
    </row>
    <row r="12" spans="2:12" x14ac:dyDescent="0.25">
      <c r="B12" s="51" t="s">
        <v>21</v>
      </c>
      <c r="C12" s="51"/>
      <c r="D12" s="8">
        <v>37.42</v>
      </c>
      <c r="F12" s="10" t="s">
        <v>8</v>
      </c>
      <c r="G12" s="8">
        <v>4.16</v>
      </c>
      <c r="I12" s="29"/>
      <c r="J12" s="33"/>
    </row>
    <row r="13" spans="2:12" x14ac:dyDescent="0.25">
      <c r="B13" s="51" t="s">
        <v>22</v>
      </c>
      <c r="C13" s="51"/>
      <c r="D13" s="8">
        <v>38</v>
      </c>
      <c r="F13" s="10" t="s">
        <v>8</v>
      </c>
      <c r="G13" s="8">
        <v>4.91</v>
      </c>
      <c r="I13" s="29"/>
      <c r="J13" s="33"/>
    </row>
    <row r="14" spans="2:12" x14ac:dyDescent="0.25">
      <c r="B14" s="46" t="s">
        <v>23</v>
      </c>
      <c r="C14" s="47"/>
      <c r="D14" s="8">
        <v>39.99</v>
      </c>
      <c r="F14" s="10" t="s">
        <v>8</v>
      </c>
      <c r="G14" s="8">
        <v>4.91</v>
      </c>
      <c r="I14" s="29"/>
      <c r="J14" s="33"/>
    </row>
    <row r="15" spans="2:12" x14ac:dyDescent="0.25">
      <c r="B15" s="46"/>
      <c r="C15" s="47"/>
      <c r="D15" s="8"/>
      <c r="F15" s="10" t="s">
        <v>8</v>
      </c>
      <c r="G15" s="8">
        <v>3</v>
      </c>
      <c r="I15" s="29"/>
      <c r="J15" s="33"/>
    </row>
    <row r="16" spans="2:12" x14ac:dyDescent="0.25">
      <c r="B16" s="46"/>
      <c r="C16" s="47"/>
      <c r="D16" s="8"/>
      <c r="F16" s="10" t="s">
        <v>8</v>
      </c>
      <c r="G16" s="8">
        <v>5.9</v>
      </c>
      <c r="I16" s="29"/>
      <c r="J16" s="33"/>
    </row>
    <row r="17" spans="2:12" ht="15" customHeight="1" x14ac:dyDescent="0.25">
      <c r="B17" s="46"/>
      <c r="C17" s="47"/>
      <c r="D17" s="8"/>
      <c r="F17" s="10" t="s">
        <v>8</v>
      </c>
      <c r="G17" s="8">
        <v>4.91</v>
      </c>
      <c r="I17" s="29"/>
      <c r="J17" s="33"/>
    </row>
    <row r="18" spans="2:12" ht="15" customHeight="1" x14ac:dyDescent="0.25">
      <c r="B18" s="46"/>
      <c r="C18" s="47"/>
      <c r="D18" s="8"/>
      <c r="F18" s="10" t="s">
        <v>8</v>
      </c>
      <c r="G18" s="8">
        <v>4.92</v>
      </c>
      <c r="J18" s="12"/>
    </row>
    <row r="19" spans="2:12" ht="15" customHeight="1" x14ac:dyDescent="0.25">
      <c r="B19" s="46"/>
      <c r="C19" s="47"/>
      <c r="D19" s="8"/>
      <c r="F19" s="10" t="s">
        <v>8</v>
      </c>
      <c r="G19" s="8">
        <v>4.9000000000000004</v>
      </c>
      <c r="I19" s="36" t="s">
        <v>13</v>
      </c>
      <c r="J19" s="39"/>
    </row>
    <row r="20" spans="2:12" ht="15" customHeight="1" x14ac:dyDescent="0.25">
      <c r="B20" s="46"/>
      <c r="C20" s="47"/>
      <c r="D20" s="8"/>
      <c r="F20" s="10" t="s">
        <v>8</v>
      </c>
      <c r="G20" s="8">
        <v>4.91</v>
      </c>
      <c r="I20" s="29"/>
      <c r="J20" s="35"/>
    </row>
    <row r="21" spans="2:12" ht="15" customHeight="1" x14ac:dyDescent="0.25">
      <c r="B21" s="46"/>
      <c r="C21" s="47"/>
      <c r="D21" s="8"/>
      <c r="F21" s="10" t="s">
        <v>8</v>
      </c>
      <c r="G21" s="8">
        <v>4.91</v>
      </c>
      <c r="I21" s="29"/>
      <c r="J21" s="33"/>
    </row>
    <row r="22" spans="2:12" ht="15" customHeight="1" x14ac:dyDescent="0.25">
      <c r="B22" s="46"/>
      <c r="C22" s="47"/>
      <c r="D22" s="8"/>
      <c r="F22" s="10" t="s">
        <v>8</v>
      </c>
      <c r="G22" s="8">
        <v>6.91</v>
      </c>
      <c r="I22" s="29"/>
      <c r="J22" s="33"/>
    </row>
    <row r="23" spans="2:12" ht="15" customHeight="1" x14ac:dyDescent="0.25">
      <c r="B23" s="46"/>
      <c r="C23" s="47"/>
      <c r="D23" s="8"/>
      <c r="F23" s="10" t="s">
        <v>8</v>
      </c>
      <c r="G23" s="8">
        <v>4.9000000000000004</v>
      </c>
      <c r="I23" s="29"/>
      <c r="J23" s="34"/>
      <c r="L23" s="38"/>
    </row>
    <row r="24" spans="2:12" ht="15" customHeight="1" x14ac:dyDescent="0.25">
      <c r="B24" s="46"/>
      <c r="C24" s="47"/>
      <c r="D24" s="8"/>
      <c r="F24" s="10" t="s">
        <v>8</v>
      </c>
      <c r="G24" s="8">
        <v>22.57</v>
      </c>
      <c r="J24" s="12"/>
    </row>
    <row r="25" spans="2:12" ht="18.75" customHeight="1" x14ac:dyDescent="0.25">
      <c r="B25" s="46"/>
      <c r="C25" s="47"/>
      <c r="D25" s="8"/>
      <c r="F25" s="10" t="s">
        <v>8</v>
      </c>
      <c r="G25" s="8">
        <v>5.92</v>
      </c>
      <c r="J25" s="12"/>
    </row>
    <row r="26" spans="2:12" ht="18.75" customHeight="1" x14ac:dyDescent="0.25">
      <c r="B26" s="46"/>
      <c r="C26" s="47"/>
      <c r="D26" s="8"/>
      <c r="F26" s="10" t="s">
        <v>18</v>
      </c>
      <c r="G26" s="8">
        <v>0.91</v>
      </c>
      <c r="J26" s="12"/>
    </row>
    <row r="27" spans="2:12" ht="18.75" customHeight="1" x14ac:dyDescent="0.25">
      <c r="B27" s="46"/>
      <c r="C27" s="47"/>
      <c r="D27" s="8"/>
      <c r="F27" s="10"/>
      <c r="G27" s="8"/>
      <c r="J27" s="12"/>
    </row>
    <row r="28" spans="2:12" ht="18.75" customHeight="1" x14ac:dyDescent="0.25">
      <c r="B28" s="46"/>
      <c r="C28" s="47"/>
      <c r="D28" s="8"/>
      <c r="F28" s="10"/>
      <c r="G28" s="8"/>
      <c r="J28" s="12"/>
    </row>
    <row r="29" spans="2:12" ht="18.75" customHeight="1" x14ac:dyDescent="0.25">
      <c r="B29" s="46"/>
      <c r="C29" s="47"/>
      <c r="D29" s="8"/>
      <c r="F29" s="10"/>
      <c r="G29" s="8"/>
      <c r="J29" s="12"/>
    </row>
    <row r="30" spans="2:12" ht="18.75" customHeight="1" x14ac:dyDescent="0.25">
      <c r="B30" s="46"/>
      <c r="C30" s="47"/>
      <c r="D30" s="8"/>
      <c r="F30" s="10"/>
      <c r="G30" s="8"/>
      <c r="J30" s="12"/>
    </row>
    <row r="31" spans="2:12" ht="18.75" customHeight="1" x14ac:dyDescent="0.25">
      <c r="B31" s="46"/>
      <c r="C31" s="47"/>
      <c r="D31" s="8"/>
      <c r="F31" s="10"/>
      <c r="G31" s="8"/>
      <c r="J31" s="12"/>
    </row>
    <row r="32" spans="2:12" x14ac:dyDescent="0.25">
      <c r="B32" s="46"/>
      <c r="C32" s="47"/>
      <c r="D32" s="8"/>
      <c r="F32" s="10"/>
      <c r="G32" s="8"/>
      <c r="J32" s="12"/>
    </row>
    <row r="33" spans="2:10" x14ac:dyDescent="0.25">
      <c r="B33" s="46"/>
      <c r="C33" s="47"/>
      <c r="D33" s="8"/>
      <c r="F33" s="10"/>
      <c r="G33" s="8"/>
      <c r="I33" s="18"/>
    </row>
    <row r="34" spans="2:10" x14ac:dyDescent="0.25">
      <c r="B34" s="46"/>
      <c r="C34" s="47"/>
      <c r="D34" s="8"/>
      <c r="F34" s="10"/>
      <c r="G34" s="8"/>
      <c r="I34" s="10"/>
    </row>
    <row r="35" spans="2:10" x14ac:dyDescent="0.25">
      <c r="B35" s="46"/>
      <c r="C35" s="47"/>
      <c r="D35" s="8"/>
      <c r="F35" s="10"/>
      <c r="G35" s="8"/>
      <c r="I35" s="17"/>
    </row>
    <row r="36" spans="2:10" x14ac:dyDescent="0.25">
      <c r="B36" s="51" t="s">
        <v>5</v>
      </c>
      <c r="C36" s="51"/>
      <c r="D36" s="8">
        <f>SUM(D7:D35)</f>
        <v>376.1</v>
      </c>
      <c r="F36" s="10" t="s">
        <v>5</v>
      </c>
      <c r="G36" s="37">
        <f>SUM(G7:G35)</f>
        <v>118.61999999999999</v>
      </c>
      <c r="I36" s="17"/>
    </row>
    <row r="37" spans="2:10" x14ac:dyDescent="0.25">
      <c r="D37" s="12"/>
      <c r="G37" s="12"/>
    </row>
    <row r="38" spans="2:10" x14ac:dyDescent="0.25">
      <c r="B38" s="1" t="s">
        <v>9</v>
      </c>
      <c r="C38" s="25" t="s">
        <v>10</v>
      </c>
      <c r="D38" s="5" t="s">
        <v>5</v>
      </c>
      <c r="F38" s="49" t="s">
        <v>11</v>
      </c>
      <c r="G38" s="49"/>
      <c r="H38" s="49"/>
    </row>
    <row r="39" spans="2:10" x14ac:dyDescent="0.25">
      <c r="B39" s="8">
        <f>D36</f>
        <v>376.1</v>
      </c>
      <c r="C39" s="8">
        <f>G36</f>
        <v>118.61999999999999</v>
      </c>
      <c r="D39" s="13">
        <f>B39+C39</f>
        <v>494.72</v>
      </c>
      <c r="F39" s="48">
        <f>SUM(D39,L6)</f>
        <v>652.21</v>
      </c>
      <c r="G39" s="48"/>
      <c r="H39" s="48"/>
    </row>
    <row r="41" spans="2:10" ht="24" customHeight="1" x14ac:dyDescent="0.25">
      <c r="G41" s="12"/>
    </row>
    <row r="42" spans="2:10" ht="18" customHeight="1" x14ac:dyDescent="0.25">
      <c r="G42" s="6" t="s">
        <v>12</v>
      </c>
    </row>
    <row r="43" spans="2:10" ht="20.25" customHeight="1" x14ac:dyDescent="0.25">
      <c r="J43" s="12"/>
    </row>
    <row r="44" spans="2:10" ht="18.75" customHeight="1" x14ac:dyDescent="0.25"/>
    <row r="45" spans="2:10" ht="15" customHeight="1" x14ac:dyDescent="0.25"/>
    <row r="46" spans="2:10" ht="15" customHeight="1" x14ac:dyDescent="0.25"/>
    <row r="47" spans="2:10" ht="15" customHeight="1" x14ac:dyDescent="0.25"/>
    <row r="48" spans="2:10" ht="31.5" customHeight="1" x14ac:dyDescent="0.25">
      <c r="B48" s="42"/>
      <c r="C48" s="43"/>
      <c r="D48" s="44"/>
      <c r="E48" s="45"/>
      <c r="H48" s="40"/>
      <c r="I48" s="41"/>
    </row>
    <row r="49" spans="2:9" ht="25.5" customHeight="1" x14ac:dyDescent="0.25">
      <c r="B49" s="16"/>
      <c r="C49" s="16"/>
      <c r="D49" s="16"/>
      <c r="E49" s="16"/>
      <c r="F49" s="12"/>
      <c r="G49" s="12"/>
      <c r="H49" s="19"/>
      <c r="I49" s="20"/>
    </row>
    <row r="50" spans="2:9" ht="20.25" customHeight="1" x14ac:dyDescent="0.25">
      <c r="B50" s="10"/>
      <c r="C50" s="10"/>
      <c r="D50" s="8"/>
      <c r="E50" s="8"/>
      <c r="H50" s="14"/>
      <c r="I50" s="15"/>
    </row>
    <row r="51" spans="2:9" ht="15" customHeight="1" x14ac:dyDescent="0.25">
      <c r="B51" s="10"/>
      <c r="C51" s="10"/>
      <c r="D51" s="8"/>
      <c r="E51" s="8"/>
      <c r="F51" s="12"/>
      <c r="H51" s="21"/>
      <c r="I51" s="22"/>
    </row>
    <row r="52" spans="2:9" ht="15" customHeight="1" x14ac:dyDescent="0.25">
      <c r="B52"/>
      <c r="C52"/>
      <c r="D52"/>
      <c r="E52"/>
      <c r="H52" s="23"/>
      <c r="I52" s="24"/>
    </row>
    <row r="53" spans="2:9" ht="15" customHeight="1" x14ac:dyDescent="0.25"/>
    <row r="54" spans="2:9" ht="15" customHeight="1" x14ac:dyDescent="0.25">
      <c r="B54"/>
      <c r="C54"/>
      <c r="D54"/>
      <c r="H54" s="10"/>
      <c r="I54" s="8"/>
    </row>
    <row r="55" spans="2:9" ht="15" customHeight="1" x14ac:dyDescent="0.25"/>
    <row r="56" spans="2:9" ht="15" customHeight="1" x14ac:dyDescent="0.25"/>
    <row r="57" spans="2:9" ht="15" customHeight="1" x14ac:dyDescent="0.25">
      <c r="B57"/>
      <c r="C57"/>
      <c r="D57"/>
    </row>
    <row r="58" spans="2:9" ht="15" customHeight="1" x14ac:dyDescent="0.25">
      <c r="B58"/>
      <c r="C58"/>
      <c r="D58"/>
      <c r="I58" s="12"/>
    </row>
    <row r="59" spans="2:9" ht="15" customHeight="1" x14ac:dyDescent="0.25">
      <c r="B59"/>
      <c r="C59"/>
      <c r="D59"/>
    </row>
    <row r="60" spans="2:9" x14ac:dyDescent="0.25">
      <c r="B60"/>
      <c r="C60"/>
      <c r="D60"/>
    </row>
    <row r="61" spans="2:9" x14ac:dyDescent="0.25">
      <c r="B61"/>
      <c r="C61"/>
      <c r="D61"/>
    </row>
  </sheetData>
  <mergeCells count="38">
    <mergeCell ref="B20:C20"/>
    <mergeCell ref="B21:C21"/>
    <mergeCell ref="B31:C31"/>
    <mergeCell ref="B27:C27"/>
    <mergeCell ref="B28:C28"/>
    <mergeCell ref="B29:C29"/>
    <mergeCell ref="B30:C30"/>
    <mergeCell ref="B22:C22"/>
    <mergeCell ref="B26:C26"/>
    <mergeCell ref="B23:C23"/>
    <mergeCell ref="B24:C24"/>
    <mergeCell ref="B14:C14"/>
    <mergeCell ref="B18:C18"/>
    <mergeCell ref="B15:C15"/>
    <mergeCell ref="B16:C16"/>
    <mergeCell ref="B19:C19"/>
    <mergeCell ref="B2:K2"/>
    <mergeCell ref="B32:C32"/>
    <mergeCell ref="B33:C33"/>
    <mergeCell ref="B34:C34"/>
    <mergeCell ref="B36:C36"/>
    <mergeCell ref="B5:G5"/>
    <mergeCell ref="B10:C10"/>
    <mergeCell ref="B17:C17"/>
    <mergeCell ref="B12:C12"/>
    <mergeCell ref="B6:C6"/>
    <mergeCell ref="B7:C7"/>
    <mergeCell ref="B11:C11"/>
    <mergeCell ref="B9:C9"/>
    <mergeCell ref="B8:C8"/>
    <mergeCell ref="B13:C13"/>
    <mergeCell ref="B25:C25"/>
    <mergeCell ref="H48:I48"/>
    <mergeCell ref="B48:C48"/>
    <mergeCell ref="D48:E48"/>
    <mergeCell ref="B35:C35"/>
    <mergeCell ref="F39:H39"/>
    <mergeCell ref="F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Augusto</dc:creator>
  <cp:keywords/>
  <dc:description/>
  <cp:lastModifiedBy>Diogo Augusto</cp:lastModifiedBy>
  <cp:revision/>
  <dcterms:created xsi:type="dcterms:W3CDTF">2025-12-13T20:12:29Z</dcterms:created>
  <dcterms:modified xsi:type="dcterms:W3CDTF">2026-10-11T23:17:47Z</dcterms:modified>
  <cp:category/>
  <cp:contentStatus/>
</cp:coreProperties>
</file>